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outeOperations" sheetId="2" state="visible" r:id="rId4"/>
    <sheet name="WorkCenterR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<sst xmlns="http://schemas.openxmlformats.org/spreadsheetml/2006/main" count="52" uniqueCount="43">
  <si>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zava_route_rates.xlsx — reference data for the make-to-stock pilot</t>
  </si>
  <si>
    <t xml:space="preserve">Route operations and work center rates for the one finished item in this</t>
  </si>
  <si>
    <t xml:space="preserve">pilot. Used alongside discovery/decision-log.md,</t>
  </si>
  <si>
    <t xml:space="preserve">discovery/workshop-transcripts.md, and zava_item_bom_master.xlsx as</t>
  </si>
  <si>
    <t xml:space="preserve">configuration data for the runbook generated in Phase 1 of the lab.</t>
  </si>
  <si>
    <t xml:space="preserve">Sheets:</t>
  </si>
  <si>
    <t xml:space="preserve">  RouteOperations   The two operations (Cutting, Assembly), estimated hours</t>
  </si>
  <si>
    <t xml:space="preserve">                    per unit, and the resulting cost per unit.</t>
  </si>
  <si>
    <t xml:space="preserve">  WorkCenterRates   Hourly rate by work center.</t>
  </si>
  <si>
    <t xml:space="preserve">Font color key:</t>
  </si>
  <si>
    <t xml:space="preserve">  Blue   hardcoded input, sourced from a workshop decision (see DecisionRef).</t>
  </si>
  <si>
    <t xml:space="preserve">  Black  formula, recalculated from other cells in this workbook.</t>
  </si>
  <si>
    <t xml:space="preserve">'Total route cost per unit' on RouteOperations ($18.75) is the figure</t>
  </si>
  <si>
    <t xml:space="preserve">referenced manually in zava_item_bom_master.xlsx (Items sheet,</t>
  </si>
  <si>
    <t xml:space="preserve">RouteCostPerUnit column) — see the comment on that cell for why it isn't a</t>
  </si>
  <si>
    <t xml:space="preserve">live cross-file formula.</t>
  </si>
  <si>
    <t xml:space="preserve">RouteId</t>
  </si>
  <si>
    <t xml:space="preserve">Item</t>
  </si>
  <si>
    <t xml:space="preserve">OperationNum</t>
  </si>
  <si>
    <t xml:space="preserve">OperationId</t>
  </si>
  <si>
    <t xml:space="preserve">WorkCenter</t>
  </si>
  <si>
    <t xml:space="preserve">Description</t>
  </si>
  <si>
    <t xml:space="preserve">EstimatedHoursPerUnit</t>
  </si>
  <si>
    <t xml:space="preserve">HourlyRate</t>
  </si>
  <si>
    <t xml:space="preserve">CostPerUnit</t>
  </si>
  <si>
    <t xml:space="preserve">DecisionRef</t>
  </si>
  <si>
    <t xml:space="preserve">ROUTE-FG100</t>
  </si>
  <si>
    <t xml:space="preserve">FG-CABINET-100</t>
  </si>
  <si>
    <t xml:space="preserve">OPR-10</t>
  </si>
  <si>
    <t xml:space="preserve">Cutting</t>
  </si>
  <si>
    <t xml:space="preserve">Cut steel panels to size</t>
  </si>
  <si>
    <t xml:space="preserve">D-06</t>
  </si>
  <si>
    <t xml:space="preserve">OPR-20</t>
  </si>
  <si>
    <t xml:space="preserve">Assembly</t>
  </si>
  <si>
    <t xml:space="preserve">Assemble cabinet; fit hinges and lock</t>
  </si>
  <si>
    <t xml:space="preserve">D-06, D-07</t>
  </si>
  <si>
    <t xml:space="preserve">Total route cost per unit</t>
  </si>
  <si>
    <t xml:space="preserve">CostCategory</t>
  </si>
  <si>
    <t xml:space="preserve">Currency</t>
  </si>
  <si>
    <t xml:space="preserve">Machine</t>
  </si>
  <si>
    <t xml:space="preserve">USD</t>
  </si>
  <si>
    <t xml:space="preserve">D-07</t>
  </si>
  <si>
    <t xml:space="preserve">Labor - Certified operator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</si>
</sst>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customFormat="false" ht="15" hidden="false" customHeight="false" outlineLevel="0" collapsed="false">
      <c r="A2" s="5" t="s">
        <v>26</v>
      </c>
      <c r="B2" s="5" t="s">
        <v>27</v>
      </c>
      <c r="C2" s="5" t="n">
        <v>10</v>
      </c>
      <c r="D2" s="5" t="s">
        <v>28</v>
      </c>
      <c r="E2" s="5" t="s">
        <v>29</v>
      </c>
      <c r="F2" s="5" t="s">
        <v>30</v>
      </c>
      <c r="G2" s="6" t="n">
        <v>0.15</v>
      </c>
      <c r="H2" s="7" t="n">
        <f aca="false">INDEX(WorkCenterRates!C:C,MATCH(E2,WorkCenterRates!A:A,0))</f>
        <v>45</v>
      </c>
      <c r="I2" s="7" t="n">
        <f aca="false">G2*H2</f>
        <v>6.75</v>
      </c>
      <c r="J2" s="5" t="s">
        <v>31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n">
        <v>20</v>
      </c>
      <c r="D3" s="5" t="s">
        <v>32</v>
      </c>
      <c r="E3" s="5" t="s">
        <v>33</v>
      </c>
      <c r="F3" s="5" t="s">
        <v>34</v>
      </c>
      <c r="G3" s="6" t="n">
        <v>0.2</v>
      </c>
      <c r="H3" s="7" t="n">
        <f aca="false">INDEX(WorkCenterRates!C:C,MATCH(E3,WorkCenterRates!A:A,0))</f>
        <v>60</v>
      </c>
      <c r="I3" s="7" t="n">
        <f aca="false">G3*H3</f>
        <v>12</v>
      </c>
      <c r="J3" s="5" t="s">
        <v>35</v>
      </c>
    </row>
    <row r="4" customFormat="false" ht="15" hidden="false" customHeight="false" outlineLevel="0" collapsed="false">
      <c r="F4" s="8" t="s">
        <v>36</v>
      </c>
      <c r="I4" s="9" t="n">
        <f aca="false">SUM(I2:I3)</f>
        <v>18.75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4" t="s">
        <v>20</v>
      </c>
      <c r="B1" s="4" t="s">
        <v>37</v>
      </c>
      <c r="C1" s="4" t="s">
        <v>23</v>
      </c>
      <c r="D1" s="4" t="s">
        <v>38</v>
      </c>
      <c r="E1" s="4" t="s">
        <v>25</v>
      </c>
    </row>
    <row r="2" customFormat="false" ht="15" hidden="false" customHeight="false" outlineLevel="0" collapsed="false">
      <c r="A2" s="5" t="s">
        <v>29</v>
      </c>
      <c r="B2" s="5" t="s">
        <v>39</v>
      </c>
      <c r="C2" s="10" t="n">
        <v>45</v>
      </c>
      <c r="D2" s="5" t="s">
        <v>40</v>
      </c>
      <c r="E2" s="5" t="s">
        <v>41</v>
      </c>
    </row>
    <row r="3" customFormat="false" ht="15" hidden="false" customHeight="false" outlineLevel="0" collapsed="false">
      <c r="A3" s="5" t="s">
        <v>33</v>
      </c>
      <c r="B3" s="5" t="s">
        <v>42</v>
      </c>
      <c r="C3" s="10" t="n">
        <v>60</v>
      </c>
      <c r="D3" s="5" t="s">
        <v>40</v>
      </c>
      <c r="E3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2026-09-10T12:52:44Z</dcterms:created>
  <dc:creator>openpyxl</dc:creator>
  <dc:description/>
  <dc:language>en-US</dc:language>
  <cp:lastModifiedBy/>
  <dcterms:modified xsi:type="dcterms:W3CDTF">2026-09-10T12:52:44Z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