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gekagroup-my.sharepoint.com/personal/lawrence_brophy_cegeka_com/Documents/Project Tiger/Frontier consultancy/D365 Config training/zava-flow-lab/zava-flow-lab/reference/"/>
    </mc:Choice>
  </mc:AlternateContent>
  <xr:revisionPtr revIDLastSave="12" documentId="11_630B685C364084E247BD324DEDFBA6F2560DD360" xr6:coauthVersionLast="47" xr6:coauthVersionMax="47" xr10:uidLastSave="{A9DC9C94-A406-45F2-8CB9-DD8996BCF675}"/>
  <bookViews>
    <workbookView minimized="1" xWindow="0" yWindow="1620" windowWidth="17280" windowHeight="8988" tabRatio="500" xr2:uid="{00000000-000D-0000-FFFF-FFFF00000000}"/>
  </bookViews>
  <sheets>
    <sheet name="Items" sheetId="1" r:id="rId1"/>
    <sheet name="BOM" sheetId="2" r:id="rId2"/>
    <sheet name="Read me" sheetId="3" r:id="rId3"/>
    <sheet name="TradingPartner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2" l="1"/>
  <c r="H4" i="2" s="1"/>
  <c r="G3" i="2"/>
  <c r="H3" i="2" s="1"/>
  <c r="G2" i="2"/>
  <c r="H2" i="2" s="1"/>
  <c r="G5" i="1" s="1"/>
  <c r="I5" i="1" s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000-000001000000}">
      <text>
        <r>
          <rPr>
            <sz val="10"/>
            <rFont val="Arial"/>
            <family val="2"/>
          </rPr>
          <t>Manual input, not a formula: route cost per unit = sum of (EstimatedHoursPerUnit x HourlyRate) from zava_route_rates.xlsx, 'RouteOperations' sheet, 'Total route cost per unit' cell. Kept as a separate workbook so no cross-file formula link is used (cross-file links break when this file is re-saved). Currently 0.15hr x $45.00 (Cutting) + 0.20hr x $60.00 (Assembly) = $18.75.</t>
        </r>
      </text>
    </comment>
  </commentList>
</comments>
</file>

<file path=xl/sharedStrings.xml><?xml version="1.0" encoding="utf-8"?>
<sst xmlns="http://schemas.openxmlformats.org/spreadsheetml/2006/main" count="89" uniqueCount="60">
  <si>
    <t>ItemId</t>
  </si>
  <si>
    <t>Description</t>
  </si>
  <si>
    <t>Type</t>
  </si>
  <si>
    <t>UoM</t>
  </si>
  <si>
    <t>ItemModelGroup</t>
  </si>
  <si>
    <t>CostingMethod</t>
  </si>
  <si>
    <t>MaterialCostPerUnit</t>
  </si>
  <si>
    <t>RouteCostPerUnit</t>
  </si>
  <si>
    <t>StandardCost</t>
  </si>
  <si>
    <t>DecisionRef</t>
  </si>
  <si>
    <t>RM-STEEL-001</t>
  </si>
  <si>
    <t>Steel Panel 600x400</t>
  </si>
  <si>
    <t>Raw Material</t>
  </si>
  <si>
    <t>ea</t>
  </si>
  <si>
    <t>RawMat-Batch</t>
  </si>
  <si>
    <t>Standard cost</t>
  </si>
  <si>
    <t>D-03, D-04</t>
  </si>
  <si>
    <t>RM-HINGE-002</t>
  </si>
  <si>
    <t>Heavy Duty Hinge Kit</t>
  </si>
  <si>
    <t>RM-LOCK-003</t>
  </si>
  <si>
    <t>Cabinet Lock Assembly</t>
  </si>
  <si>
    <t>FG-CABINET-100</t>
  </si>
  <si>
    <t>Assembled Tool Cabinet</t>
  </si>
  <si>
    <t>Finished Good</t>
  </si>
  <si>
    <t>FG-Batch</t>
  </si>
  <si>
    <t>D-01, D-05, D-06, D-07</t>
  </si>
  <si>
    <t>BomId</t>
  </si>
  <si>
    <t>Item</t>
  </si>
  <si>
    <t>LineNum</t>
  </si>
  <si>
    <t>Component</t>
  </si>
  <si>
    <t>ComponentQty</t>
  </si>
  <si>
    <t>ComponentStandardCost</t>
  </si>
  <si>
    <t>LineCost</t>
  </si>
  <si>
    <t>BOM-FG100</t>
  </si>
  <si>
    <t>D-05</t>
  </si>
  <si>
    <t>zava_item_bom_master.xlsx — reference data for the make-to-stock pilot</t>
  </si>
  <si>
    <t>This workbook is a source of configuration data for the runbook you generate in</t>
  </si>
  <si>
    <t>Phase 1 of the lab, alongside discovery/decision-log.md and</t>
  </si>
  <si>
    <t>discovery/workshop-transcripts.md. It is reference data, not a live system —</t>
  </si>
  <si>
    <t>nothing here is written back to Dynamics automatically.</t>
  </si>
  <si>
    <t>Sheets:</t>
  </si>
  <si>
    <t xml:space="preserve">  Items            Released-product candidates: raw materials and the one</t>
  </si>
  <si>
    <t xml:space="preserve">                   finished good, with costing data.</t>
  </si>
  <si>
    <t xml:space="preserve">  BOM              Bill of materials for the finished good.</t>
  </si>
  <si>
    <t xml:space="preserve">  TradingPartners  The one vendor and one customer in scope for this pilot.</t>
  </si>
  <si>
    <t>Font color key:</t>
  </si>
  <si>
    <t xml:space="preserve">  Blue   hardcoded input, sourced from a workshop decision (see DecisionRef).</t>
  </si>
  <si>
    <t xml:space="preserve">  Black  formula, recalculated from other cells in this workbook.</t>
  </si>
  <si>
    <t>Every row cites a DecisionRef back to discovery/decision-log.md so a reviewer</t>
  </si>
  <si>
    <t>can trace any figure to the decision that set it.</t>
  </si>
  <si>
    <t>AccountId</t>
  </si>
  <si>
    <t>Name</t>
  </si>
  <si>
    <t>Vendor</t>
  </si>
  <si>
    <t>VEND-001</t>
  </si>
  <si>
    <t>Acme Metal Supply</t>
  </si>
  <si>
    <t>D-02</t>
  </si>
  <si>
    <t>Customer</t>
  </si>
  <si>
    <t>CUST-001</t>
  </si>
  <si>
    <t>Riverside Builders</t>
  </si>
  <si>
    <t>D-09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</si>
</sst>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0"/>
      <name val="Arial"/>
      <family val="2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Normal="100" workbookViewId="0">
      <pane ySplit="1" topLeftCell="A2" activePane="bottomLeft" state="frozen"/>
      <selection pane="bottomLeft" activeCell="A5" sqref="A5"/>
    </sheetView>
  </sheetViews>
  <sheetFormatPr defaultColWidth="8.6640625" defaultRowHeight="14.4" x14ac:dyDescent="0.3"/>
  <cols>
    <col min="1" max="1" width="16" customWidth="1"/>
    <col min="2" max="2" width="24" customWidth="1"/>
    <col min="3" max="3" width="14" customWidth="1"/>
    <col min="4" max="4" width="6" customWidth="1"/>
    <col min="5" max="5" width="25.33203125" customWidth="1"/>
    <col min="6" max="6" width="16" customWidth="1"/>
    <col min="7" max="7" width="29.44140625" customWidth="1"/>
    <col min="8" max="8" width="21.109375" customWidth="1"/>
    <col min="9" max="9" width="18.77734375" customWidth="1"/>
    <col min="10" max="10" width="30.7773437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12.5</v>
      </c>
      <c r="H2">
        <v>0</v>
      </c>
      <c r="I2">
        <f>G2+H2</f>
        <v>12.5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>
        <v>3.2</v>
      </c>
      <c r="H3">
        <v>0</v>
      </c>
      <c r="I3">
        <f>G3+H3</f>
        <v>3.2</v>
      </c>
      <c r="J3" t="s">
        <v>16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>
        <v>8.75</v>
      </c>
      <c r="H4">
        <v>0</v>
      </c>
      <c r="I4">
        <f>G4+H4</f>
        <v>8.75</v>
      </c>
      <c r="J4" t="s">
        <v>16</v>
      </c>
    </row>
    <row r="5" spans="1:10" x14ac:dyDescent="0.3">
      <c r="A5" t="s">
        <v>21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>
        <f>SUMIFS(BOM!H:H,BOM!B:B,A5)</f>
        <v>65.150000000000006</v>
      </c>
      <c r="H5">
        <v>18.75</v>
      </c>
      <c r="I5">
        <f>G5+H5</f>
        <v>83.9</v>
      </c>
      <c r="J5" t="s">
        <v>25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.33203125" bestFit="1" customWidth="1"/>
    <col min="2" max="2" width="17.21875" bestFit="1" customWidth="1"/>
    <col min="3" max="3" width="9" customWidth="1"/>
    <col min="4" max="4" width="16" customWidth="1"/>
    <col min="5" max="5" width="14" customWidth="1"/>
    <col min="6" max="6" width="6" customWidth="1"/>
    <col min="7" max="7" width="20" customWidth="1"/>
    <col min="8" max="9" width="12" customWidth="1"/>
  </cols>
  <sheetData>
    <row r="1" spans="1:9" ht="30" customHeight="1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</v>
      </c>
      <c r="G1" s="1" t="s">
        <v>31</v>
      </c>
      <c r="H1" s="1" t="s">
        <v>32</v>
      </c>
      <c r="I1" s="1" t="s">
        <v>9</v>
      </c>
    </row>
    <row r="2" spans="1:9" x14ac:dyDescent="0.3">
      <c r="A2" s="2" t="s">
        <v>33</v>
      </c>
      <c r="B2" s="2" t="s">
        <v>21</v>
      </c>
      <c r="C2" s="2">
        <v>1</v>
      </c>
      <c r="D2" s="2" t="s">
        <v>10</v>
      </c>
      <c r="E2" s="2">
        <v>4</v>
      </c>
      <c r="F2" s="2" t="s">
        <v>13</v>
      </c>
      <c r="G2" s="3">
        <f>INDEX(Items!G:G,MATCH(D2,Items!A:A,0))</f>
        <v>12.5</v>
      </c>
      <c r="H2" s="3">
        <f>E2*G2</f>
        <v>50</v>
      </c>
      <c r="I2" s="2" t="s">
        <v>34</v>
      </c>
    </row>
    <row r="3" spans="1:9" x14ac:dyDescent="0.3">
      <c r="A3" s="2" t="s">
        <v>33</v>
      </c>
      <c r="B3" s="2" t="s">
        <v>21</v>
      </c>
      <c r="C3" s="2">
        <v>2</v>
      </c>
      <c r="D3" s="2" t="s">
        <v>17</v>
      </c>
      <c r="E3" s="2">
        <v>2</v>
      </c>
      <c r="F3" s="2" t="s">
        <v>13</v>
      </c>
      <c r="G3" s="3">
        <f>INDEX(Items!G:G,MATCH(D3,Items!A:A,0))</f>
        <v>3.2</v>
      </c>
      <c r="H3" s="3">
        <f>E3*G3</f>
        <v>6.4</v>
      </c>
      <c r="I3" s="2" t="s">
        <v>34</v>
      </c>
    </row>
    <row r="4" spans="1:9" x14ac:dyDescent="0.3">
      <c r="A4" s="2" t="s">
        <v>33</v>
      </c>
      <c r="B4" s="2" t="s">
        <v>21</v>
      </c>
      <c r="C4" s="2">
        <v>3</v>
      </c>
      <c r="D4" s="2" t="s">
        <v>19</v>
      </c>
      <c r="E4" s="2">
        <v>1</v>
      </c>
      <c r="F4" s="2" t="s">
        <v>13</v>
      </c>
      <c r="G4" s="3">
        <f>INDEX(Items!G:G,MATCH(D4,Items!A:A,0))</f>
        <v>8.75</v>
      </c>
      <c r="H4" s="3">
        <f>E4*G4</f>
        <v>8.75</v>
      </c>
      <c r="I4" s="2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95" customWidth="1"/>
  </cols>
  <sheetData>
    <row r="1" spans="1:1" ht="16.8" x14ac:dyDescent="0.3">
      <c r="A1" s="4" t="s">
        <v>35</v>
      </c>
    </row>
    <row r="2" spans="1:1" x14ac:dyDescent="0.3">
      <c r="A2" s="5"/>
    </row>
    <row r="3" spans="1:1" x14ac:dyDescent="0.3">
      <c r="A3" s="5" t="s">
        <v>36</v>
      </c>
    </row>
    <row r="4" spans="1:1" x14ac:dyDescent="0.3">
      <c r="A4" s="5" t="s">
        <v>37</v>
      </c>
    </row>
    <row r="5" spans="1:1" x14ac:dyDescent="0.3">
      <c r="A5" s="5" t="s">
        <v>38</v>
      </c>
    </row>
    <row r="6" spans="1:1" x14ac:dyDescent="0.3">
      <c r="A6" s="5" t="s">
        <v>39</v>
      </c>
    </row>
    <row r="7" spans="1:1" x14ac:dyDescent="0.3">
      <c r="A7" s="5"/>
    </row>
    <row r="8" spans="1:1" x14ac:dyDescent="0.3">
      <c r="A8" s="6" t="s">
        <v>40</v>
      </c>
    </row>
    <row r="9" spans="1:1" x14ac:dyDescent="0.3">
      <c r="A9" s="5" t="s">
        <v>41</v>
      </c>
    </row>
    <row r="10" spans="1:1" x14ac:dyDescent="0.3">
      <c r="A10" s="5" t="s">
        <v>42</v>
      </c>
    </row>
    <row r="11" spans="1:1" x14ac:dyDescent="0.3">
      <c r="A11" s="5" t="s">
        <v>43</v>
      </c>
    </row>
    <row r="12" spans="1:1" x14ac:dyDescent="0.3">
      <c r="A12" s="5" t="s">
        <v>44</v>
      </c>
    </row>
    <row r="13" spans="1:1" x14ac:dyDescent="0.3">
      <c r="A13" s="5"/>
    </row>
    <row r="14" spans="1:1" x14ac:dyDescent="0.3">
      <c r="A14" s="6" t="s">
        <v>45</v>
      </c>
    </row>
    <row r="15" spans="1:1" x14ac:dyDescent="0.3">
      <c r="A15" s="5" t="s">
        <v>46</v>
      </c>
    </row>
    <row r="16" spans="1:1" x14ac:dyDescent="0.3">
      <c r="A16" s="5" t="s">
        <v>47</v>
      </c>
    </row>
    <row r="17" spans="1:1" x14ac:dyDescent="0.3">
      <c r="A17" s="5"/>
    </row>
    <row r="18" spans="1:1" x14ac:dyDescent="0.3">
      <c r="A18" s="5" t="s">
        <v>48</v>
      </c>
    </row>
    <row r="19" spans="1:1" x14ac:dyDescent="0.3">
      <c r="A19" s="5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8.6640625" defaultRowHeight="14.4" x14ac:dyDescent="0.3"/>
  <cols>
    <col min="1" max="1" width="12" customWidth="1"/>
    <col min="2" max="2" width="14" customWidth="1"/>
    <col min="3" max="3" width="24" customWidth="1"/>
    <col min="4" max="4" width="12" customWidth="1"/>
  </cols>
  <sheetData>
    <row r="1" spans="1:4" ht="30" customHeight="1" x14ac:dyDescent="0.3">
      <c r="A1" s="1" t="s">
        <v>2</v>
      </c>
      <c r="B1" s="1" t="s">
        <v>50</v>
      </c>
      <c r="C1" s="1" t="s">
        <v>51</v>
      </c>
      <c r="D1" s="1" t="s">
        <v>9</v>
      </c>
    </row>
    <row r="2" spans="1:4" x14ac:dyDescent="0.3">
      <c r="A2" s="2" t="s">
        <v>52</v>
      </c>
      <c r="B2" s="2" t="s">
        <v>53</v>
      </c>
      <c r="C2" s="2" t="s">
        <v>54</v>
      </c>
      <c r="D2" s="2" t="s">
        <v>55</v>
      </c>
    </row>
    <row r="3" spans="1:4" x14ac:dyDescent="0.3">
      <c r="A3" s="2" t="s">
        <v>56</v>
      </c>
      <c r="B3" s="2" t="s">
        <v>57</v>
      </c>
      <c r="C3" s="2" t="s">
        <v>58</v>
      </c>
      <c r="D3" s="2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1302088-aa92-48c6-bbf3-927bf74cf8aa}" enabled="1" method="Standard" siteId="{42151053-0193-47aa-9e81-effd81f772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BOM</vt:lpstr>
      <vt:lpstr>Read me</vt:lpstr>
      <vt:lpstr>TradingPartners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Lawrence Brophy</cp:lastModifiedBy>
  <cp:revision>0</cp:revision>
  <dcterms:created xsi:type="dcterms:W3CDTF">2026-09-10T12:52:44Z</dcterms:created>
  <dcterms:modified xsi:type="dcterms:W3CDTF">2026-09-21T09:18:42Z</dcterms:modified>
  <dc:language>en-US</dc:language>
</cp:coreProperties>
</file>